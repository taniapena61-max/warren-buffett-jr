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rleyhernandez/Desktop/Clases LWS/"/>
    </mc:Choice>
  </mc:AlternateContent>
  <xr:revisionPtr revIDLastSave="0" documentId="8_{F87472E8-6BF1-5F4E-AAC5-4D35B069A337}" xr6:coauthVersionLast="47" xr6:coauthVersionMax="47" xr10:uidLastSave="{00000000-0000-0000-0000-000000000000}"/>
  <bookViews>
    <workbookView xWindow="0" yWindow="620" windowWidth="44800" windowHeight="2270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1" i="1" l="1"/>
  <c r="M31" i="1"/>
  <c r="L31" i="1"/>
  <c r="K31" i="1"/>
  <c r="J31" i="1"/>
  <c r="I31" i="1"/>
  <c r="H31" i="1"/>
  <c r="G31" i="1"/>
  <c r="F31" i="1"/>
  <c r="E31" i="1"/>
  <c r="N30" i="1"/>
  <c r="M30" i="1"/>
  <c r="L30" i="1"/>
  <c r="K30" i="1"/>
  <c r="J30" i="1"/>
  <c r="I30" i="1"/>
  <c r="H30" i="1"/>
  <c r="G30" i="1"/>
  <c r="F30" i="1"/>
  <c r="E30" i="1"/>
  <c r="N29" i="1"/>
  <c r="M29" i="1"/>
  <c r="L29" i="1"/>
  <c r="K29" i="1"/>
  <c r="J29" i="1"/>
  <c r="I29" i="1"/>
  <c r="H29" i="1"/>
  <c r="G29" i="1"/>
  <c r="F29" i="1"/>
  <c r="E29" i="1"/>
  <c r="N28" i="1"/>
  <c r="M28" i="1"/>
  <c r="L28" i="1"/>
  <c r="K28" i="1"/>
  <c r="J28" i="1"/>
  <c r="I28" i="1"/>
  <c r="H28" i="1"/>
  <c r="G28" i="1"/>
  <c r="F28" i="1"/>
  <c r="E28" i="1"/>
  <c r="N27" i="1"/>
  <c r="M27" i="1"/>
  <c r="L27" i="1"/>
  <c r="K27" i="1"/>
  <c r="J27" i="1"/>
  <c r="I27" i="1"/>
  <c r="H27" i="1"/>
  <c r="G27" i="1"/>
  <c r="F27" i="1"/>
  <c r="E27" i="1"/>
  <c r="N26" i="1"/>
  <c r="M26" i="1"/>
  <c r="L26" i="1"/>
  <c r="K26" i="1"/>
  <c r="J26" i="1"/>
  <c r="I26" i="1"/>
  <c r="H26" i="1"/>
  <c r="G26" i="1"/>
  <c r="F26" i="1"/>
  <c r="E26" i="1"/>
  <c r="N25" i="1"/>
  <c r="M25" i="1"/>
  <c r="L25" i="1"/>
  <c r="K25" i="1"/>
  <c r="J25" i="1"/>
  <c r="I25" i="1"/>
  <c r="H25" i="1"/>
  <c r="G25" i="1"/>
  <c r="F25" i="1"/>
  <c r="E25" i="1"/>
  <c r="N24" i="1"/>
  <c r="M24" i="1"/>
  <c r="L24" i="1"/>
  <c r="K24" i="1"/>
  <c r="J24" i="1"/>
  <c r="I24" i="1"/>
  <c r="H24" i="1"/>
  <c r="G24" i="1"/>
  <c r="F24" i="1"/>
  <c r="E24" i="1"/>
  <c r="N12" i="1"/>
  <c r="M12" i="1"/>
  <c r="L12" i="1"/>
  <c r="K12" i="1"/>
  <c r="J12" i="1"/>
  <c r="I12" i="1"/>
  <c r="H12" i="1"/>
  <c r="G12" i="1"/>
  <c r="F12" i="1"/>
  <c r="E12" i="1"/>
  <c r="N11" i="1"/>
  <c r="M11" i="1"/>
  <c r="L11" i="1"/>
  <c r="K11" i="1"/>
  <c r="J11" i="1"/>
  <c r="I11" i="1"/>
  <c r="H11" i="1"/>
  <c r="G11" i="1"/>
  <c r="F11" i="1"/>
  <c r="E11" i="1"/>
  <c r="N10" i="1"/>
  <c r="M10" i="1"/>
  <c r="L10" i="1"/>
  <c r="K10" i="1"/>
  <c r="J10" i="1"/>
  <c r="I10" i="1"/>
  <c r="H10" i="1"/>
  <c r="G10" i="1"/>
  <c r="F10" i="1"/>
  <c r="E10" i="1"/>
  <c r="N9" i="1"/>
  <c r="M9" i="1"/>
  <c r="L9" i="1"/>
  <c r="K9" i="1"/>
  <c r="J9" i="1"/>
  <c r="I9" i="1"/>
  <c r="H9" i="1"/>
  <c r="G9" i="1"/>
  <c r="F9" i="1"/>
  <c r="E9" i="1"/>
  <c r="N8" i="1"/>
  <c r="M8" i="1"/>
  <c r="L8" i="1"/>
  <c r="K8" i="1"/>
  <c r="J8" i="1"/>
  <c r="I8" i="1"/>
  <c r="H8" i="1"/>
  <c r="G8" i="1"/>
  <c r="F8" i="1"/>
  <c r="E8" i="1"/>
  <c r="N7" i="1"/>
  <c r="M7" i="1"/>
  <c r="L7" i="1"/>
  <c r="K7" i="1"/>
  <c r="J7" i="1"/>
  <c r="I7" i="1"/>
  <c r="H7" i="1"/>
  <c r="G7" i="1"/>
  <c r="F7" i="1"/>
  <c r="E7" i="1"/>
  <c r="N6" i="1"/>
  <c r="M6" i="1"/>
  <c r="L6" i="1"/>
  <c r="K6" i="1"/>
  <c r="J6" i="1"/>
  <c r="I6" i="1"/>
  <c r="H6" i="1"/>
  <c r="G6" i="1"/>
  <c r="F6" i="1"/>
  <c r="E6" i="1"/>
  <c r="N5" i="1"/>
  <c r="M5" i="1"/>
  <c r="L5" i="1"/>
  <c r="K5" i="1"/>
  <c r="J5" i="1"/>
  <c r="I5" i="1"/>
  <c r="H5" i="1"/>
  <c r="G5" i="1"/>
  <c r="F5" i="1"/>
  <c r="E5" i="1"/>
  <c r="M13" i="1" l="1" a="1"/>
  <c r="M13" i="1" s="1"/>
  <c r="E13" i="1" a="1"/>
  <c r="E13" i="1" s="1"/>
  <c r="G13" i="1" a="1"/>
  <c r="G13" i="1" s="1"/>
  <c r="J13" i="1" a="1"/>
  <c r="J13" i="1" s="1"/>
  <c r="I13" i="1" a="1"/>
  <c r="I13" i="1" s="1"/>
  <c r="K13" i="1" a="1"/>
  <c r="K13" i="1" s="1"/>
  <c r="L13" i="1" a="1"/>
  <c r="L13" i="1" s="1"/>
  <c r="N13" i="1" a="1"/>
  <c r="N13" i="1" s="1"/>
  <c r="H13" i="1" a="1"/>
  <c r="H13" i="1" s="1"/>
  <c r="F13" i="1" a="1"/>
  <c r="F13" i="1" s="1"/>
</calcChain>
</file>

<file path=xl/sharedStrings.xml><?xml version="1.0" encoding="utf-8"?>
<sst xmlns="http://schemas.openxmlformats.org/spreadsheetml/2006/main" count="136" uniqueCount="63">
  <si>
    <t>Pivote (mínimo/máximo)</t>
  </si>
  <si>
    <t>Precio actual</t>
  </si>
  <si>
    <t>Q1  0°–90°</t>
  </si>
  <si>
    <t>Q2  90°–180°</t>
  </si>
  <si>
    <t>Q3  180°–270°</t>
  </si>
  <si>
    <t>Q4  270°–360°</t>
  </si>
  <si>
    <t>Cuadrante</t>
  </si>
  <si>
    <t>Ángulo</t>
  </si>
  <si>
    <t>Dir</t>
  </si>
  <si>
    <t>Tipo</t>
  </si>
  <si>
    <t>Anillo 1</t>
  </si>
  <si>
    <t>Anillo 2</t>
  </si>
  <si>
    <t>Anillo 3</t>
  </si>
  <si>
    <t>Anillo 4</t>
  </si>
  <si>
    <t>Anillo 5</t>
  </si>
  <si>
    <t>Anillo 6</t>
  </si>
  <si>
    <t>Anillo 7</t>
  </si>
  <si>
    <t>Anillo 8</t>
  </si>
  <si>
    <t>Anillo 9</t>
  </si>
  <si>
    <t>Anillo 10</t>
  </si>
  <si>
    <t>0°</t>
  </si>
  <si>
    <t>E</t>
  </si>
  <si>
    <t>Cardinal</t>
  </si>
  <si>
    <t>45°</t>
  </si>
  <si>
    <t>NE</t>
  </si>
  <si>
    <t>Diagonal</t>
  </si>
  <si>
    <t>90°</t>
  </si>
  <si>
    <t>N</t>
  </si>
  <si>
    <t>135°</t>
  </si>
  <si>
    <t>NO</t>
  </si>
  <si>
    <t>180°</t>
  </si>
  <si>
    <t>O</t>
  </si>
  <si>
    <t>225°</t>
  </si>
  <si>
    <t>SO</t>
  </si>
  <si>
    <t>270°</t>
  </si>
  <si>
    <t>S</t>
  </si>
  <si>
    <t>315°</t>
  </si>
  <si>
    <t>SE</t>
  </si>
  <si>
    <t>CALCULADORA SQUARE OF NINE  —  NIVELES BAJISTAS  ·  Fórmula ↓: (√Pivote − inc)²</t>
  </si>
  <si>
    <t>CARDINAL = FUERTE</t>
  </si>
  <si>
    <t xml:space="preserve">Distancia al precio actual = </t>
  </si>
  <si>
    <t>Q1  0°  —  Expansión</t>
  </si>
  <si>
    <t>Q2  90°  —  Consolidación</t>
  </si>
  <si>
    <t>Q3  180°  —  Contracción</t>
  </si>
  <si>
    <t>Q4  315°  —  Reversión</t>
  </si>
  <si>
    <t>DIAGONAL = SECUNDARIO</t>
  </si>
  <si>
    <t>Q2  135°  —  Consolidación</t>
  </si>
  <si>
    <t>Q3  225°  —  Contracción</t>
  </si>
  <si>
    <t>Q4  270°  —  Reversión</t>
  </si>
  <si>
    <t>CALCULADORA SQUARE OF NINE - NIVELES ALCISTAS   Fórmula ↑: (√Pivote+inc)²  ·  Fórmula ↓: (√Pivote−inc)²</t>
  </si>
  <si>
    <t>Q1  45°  —  Expansión</t>
  </si>
  <si>
    <t>Eje</t>
  </si>
  <si>
    <t>0.000</t>
  </si>
  <si>
    <t>0.125</t>
  </si>
  <si>
    <t>0.250</t>
  </si>
  <si>
    <t>0.375</t>
  </si>
  <si>
    <t>0.500</t>
  </si>
  <si>
    <t>0.625</t>
  </si>
  <si>
    <t>0.750</t>
  </si>
  <si>
    <t>0.875</t>
  </si>
  <si>
    <r>
      <t>Una vuelta entera = </t>
    </r>
    <r>
      <rPr>
        <b/>
        <sz val="12"/>
        <color rgb="FF000000"/>
        <rFont val="Arial"/>
        <family val="2"/>
      </rPr>
      <t>1.000</t>
    </r>
    <r>
      <rPr>
        <sz val="14"/>
        <color rgb="FF000000"/>
        <rFont val="Arial"/>
        <family val="2"/>
      </rPr>
      <t> = un anillo completo.</t>
    </r>
  </si>
  <si>
    <t>√</t>
  </si>
  <si>
    <t>(Aquí se añade el pivote manualmente)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</si>
</sst>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Aptos Narrow"/>
      <family val="2"/>
      <charset val="1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sz val="10"/>
      <color rgb="FF1F3864"/>
      <name val="Arial"/>
      <family val="2"/>
    </font>
    <font>
      <b/>
      <sz val="12"/>
      <color rgb="FF0000FF"/>
      <name val="Arial"/>
      <family val="2"/>
    </font>
    <font>
      <i/>
      <sz val="9"/>
      <color rgb="FF888888"/>
      <name val="Arial"/>
      <family val="2"/>
    </font>
    <font>
      <b/>
      <sz val="10"/>
      <color rgb="FF8B2500"/>
      <name val="Arial"/>
      <family val="2"/>
    </font>
    <font>
      <b/>
      <sz val="10"/>
      <color rgb="FF0A3060"/>
      <name val="Arial"/>
      <family val="2"/>
    </font>
    <font>
      <b/>
      <sz val="9"/>
      <color rgb="FF8B2500"/>
      <name val="Arial"/>
      <family val="2"/>
    </font>
    <font>
      <b/>
      <sz val="9"/>
      <color rgb="FF0D4F1F"/>
      <name val="Arial"/>
      <family val="2"/>
    </font>
    <font>
      <b/>
      <sz val="9"/>
      <color rgb="FF0A3060"/>
      <name val="Arial"/>
      <family val="2"/>
    </font>
    <font>
      <b/>
      <sz val="9"/>
      <color rgb="FF5C3D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8B2500"/>
      <name val="Arial"/>
      <family val="2"/>
    </font>
    <font>
      <sz val="10"/>
      <color rgb="FF000000"/>
      <name val="Arial"/>
      <family val="2"/>
    </font>
    <font>
      <sz val="9"/>
      <color rgb="FF8B2500"/>
      <name val="Arial"/>
      <family val="2"/>
    </font>
    <font>
      <b/>
      <sz val="10"/>
      <color rgb="FF0D4F1F"/>
      <name val="Arial"/>
      <family val="2"/>
    </font>
    <font>
      <sz val="10"/>
      <color rgb="FF0D4F1F"/>
      <name val="Arial"/>
      <family val="2"/>
    </font>
    <font>
      <sz val="9"/>
      <color rgb="FF0D4F1F"/>
      <name val="Arial"/>
      <family val="2"/>
    </font>
    <font>
      <sz val="10"/>
      <color rgb="FF0A3060"/>
      <name val="Arial"/>
      <family val="2"/>
    </font>
    <font>
      <sz val="9"/>
      <color rgb="FF0A3060"/>
      <name val="Arial"/>
      <family val="2"/>
    </font>
    <font>
      <b/>
      <sz val="10"/>
      <color rgb="FF5C3D00"/>
      <name val="Arial"/>
      <family val="2"/>
    </font>
    <font>
      <sz val="10"/>
      <color rgb="FF5C3D00"/>
      <name val="Arial"/>
      <family val="2"/>
    </font>
    <font>
      <sz val="9"/>
      <color rgb="FF5C3D00"/>
      <name val="Arial"/>
      <family val="2"/>
    </font>
    <font>
      <b/>
      <sz val="9"/>
      <color rgb="FF7030A0"/>
      <name val="Arial"/>
      <family val="2"/>
    </font>
    <font>
      <b/>
      <sz val="14"/>
      <color rgb="FF8B2500"/>
      <name val="Arial"/>
      <family val="2"/>
    </font>
    <font>
      <b/>
      <sz val="14"/>
      <color rgb="FF0D4F1F"/>
      <name val="Arial"/>
      <family val="2"/>
    </font>
    <font>
      <b/>
      <sz val="14"/>
      <color rgb="FF0A3060"/>
      <name val="Arial"/>
      <family val="2"/>
    </font>
    <font>
      <b/>
      <sz val="14"/>
      <color rgb="FF5C3D0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28"/>
      <color theme="1"/>
      <name val="Arial"/>
      <family val="2"/>
    </font>
    <font>
      <sz val="14"/>
      <color rgb="FF000000"/>
      <name val="Arial"/>
      <family val="2"/>
    </font>
    <font>
      <b/>
      <sz val="12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EEF2F7"/>
        <bgColor rgb="FFF2F2F2"/>
      </patternFill>
    </fill>
    <fill>
      <patternFill patternType="solid">
        <fgColor rgb="FFFFFDE7"/>
        <bgColor rgb="FFF8F8F8"/>
      </patternFill>
    </fill>
    <fill>
      <patternFill patternType="solid">
        <fgColor rgb="FFF8F8F8"/>
        <bgColor rgb="FFF2F2F2"/>
      </patternFill>
    </fill>
    <fill>
      <patternFill patternType="solid">
        <fgColor rgb="FFFDE9D9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DE9D9"/>
      </patternFill>
    </fill>
    <fill>
      <patternFill patternType="solid">
        <fgColor rgb="FFF0E6FF"/>
        <bgColor rgb="FFEEF2F7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3" fontId="13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3" fontId="15" fillId="6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3" fontId="15" fillId="8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3" fontId="15" fillId="7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3" fontId="15" fillId="9" borderId="1" xfId="0" applyNumberFormat="1" applyFont="1" applyFill="1" applyBorder="1" applyAlignment="1">
      <alignment horizontal="center" vertical="center"/>
    </xf>
    <xf numFmtId="3" fontId="25" fillId="10" borderId="0" xfId="0" applyNumberFormat="1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/>
    </xf>
    <xf numFmtId="0" fontId="17" fillId="8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left" vertical="center"/>
    </xf>
    <xf numFmtId="0" fontId="18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left" vertical="center"/>
    </xf>
    <xf numFmtId="0" fontId="20" fillId="7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left" vertical="center"/>
    </xf>
    <xf numFmtId="0" fontId="22" fillId="9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left" vertical="center"/>
    </xf>
    <xf numFmtId="0" fontId="23" fillId="9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3" fontId="4" fillId="12" borderId="1" xfId="0" applyNumberFormat="1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left" vertical="center"/>
    </xf>
    <xf numFmtId="0" fontId="27" fillId="8" borderId="3" xfId="0" applyFont="1" applyFill="1" applyBorder="1" applyAlignment="1">
      <alignment horizontal="left" vertical="center"/>
    </xf>
    <xf numFmtId="0" fontId="28" fillId="7" borderId="3" xfId="0" applyFont="1" applyFill="1" applyBorder="1" applyAlignment="1">
      <alignment horizontal="left" vertical="center"/>
    </xf>
    <xf numFmtId="0" fontId="2" fillId="14" borderId="0" xfId="0" applyFont="1" applyFill="1"/>
    <xf numFmtId="0" fontId="32" fillId="0" borderId="5" xfId="0" applyFont="1" applyBorder="1"/>
    <xf numFmtId="0" fontId="33" fillId="0" borderId="5" xfId="0" applyFont="1" applyBorder="1"/>
    <xf numFmtId="0" fontId="34" fillId="0" borderId="0" xfId="0" applyFont="1"/>
    <xf numFmtId="0" fontId="31" fillId="13" borderId="0" xfId="0" applyFont="1" applyFill="1" applyAlignment="1">
      <alignment horizontal="center"/>
    </xf>
    <xf numFmtId="0" fontId="29" fillId="9" borderId="3" xfId="0" applyFont="1" applyFill="1" applyBorder="1" applyAlignment="1">
      <alignment horizontal="left" vertical="center"/>
    </xf>
    <xf numFmtId="0" fontId="30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25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7030A0"/>
      <rgbColor rgb="FFFFFDE7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FF2CC"/>
      <rgbColor rgb="FFF0E6FF"/>
      <rgbColor rgb="FFF2F2F2"/>
      <rgbColor rgb="FFF8F8F8"/>
      <rgbColor rgb="FFFDE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060"/>
      <rgbColor rgb="FF339966"/>
      <rgbColor rgb="FF0D4F1F"/>
      <rgbColor rgb="FF5C3D00"/>
      <rgbColor rgb="FF8B25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317500</xdr:colOff>
      <xdr:row>5</xdr:row>
      <xdr:rowOff>76200</xdr:rowOff>
    </xdr:from>
    <xdr:ext cx="8978900" cy="15494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AD1825-A910-2B08-033F-6E096EB57748}"/>
            </a:ext>
          </a:extLst>
        </xdr:cNvPr>
        <xdr:cNvSpPr txBox="1"/>
      </xdr:nvSpPr>
      <xdr:spPr>
        <a:xfrm>
          <a:off x="1143000" y="1092200"/>
          <a:ext cx="8978900" cy="1549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Q1 · 0°–90° · Expansión</a:t>
          </a: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Zona de impulso alcista inicial. Los niveles cardinales a 0° y 90° son los soportes/resistencias más fuertes del espiral.</a:t>
          </a:r>
        </a:p>
      </xdr:txBody>
    </xdr:sp>
    <xdr:clientData/>
  </xdr:oneCellAnchor>
  <xdr:oneCellAnchor>
    <xdr:from>
      <xdr:col>1</xdr:col>
      <xdr:colOff>368300</xdr:colOff>
      <xdr:row>15</xdr:row>
      <xdr:rowOff>88900</xdr:rowOff>
    </xdr:from>
    <xdr:ext cx="8978900" cy="15494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B0EF2-B32F-BF4D-998F-C5647AAD907E}"/>
            </a:ext>
          </a:extLst>
        </xdr:cNvPr>
        <xdr:cNvSpPr txBox="1"/>
      </xdr:nvSpPr>
      <xdr:spPr>
        <a:xfrm>
          <a:off x="1193800" y="3136900"/>
          <a:ext cx="8978900" cy="1549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Q2 · 90°–180° · Consolidación</a:t>
          </a: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 precio digiere el movimiento. Zona de acumulación o distribución según la tendencia dominante.</a:t>
          </a:r>
        </a:p>
      </xdr:txBody>
    </xdr:sp>
    <xdr:clientData/>
  </xdr:oneCellAnchor>
  <xdr:oneCellAnchor>
    <xdr:from>
      <xdr:col>1</xdr:col>
      <xdr:colOff>381000</xdr:colOff>
      <xdr:row>25</xdr:row>
      <xdr:rowOff>76200</xdr:rowOff>
    </xdr:from>
    <xdr:ext cx="8978900" cy="15494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6B955D-4DD4-C146-A9B8-1CF7BC3560A2}"/>
            </a:ext>
          </a:extLst>
        </xdr:cNvPr>
        <xdr:cNvSpPr txBox="1"/>
      </xdr:nvSpPr>
      <xdr:spPr>
        <a:xfrm>
          <a:off x="1206500" y="5156200"/>
          <a:ext cx="8978900" cy="1549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Q3 · 180°–270° · Contracción</a:t>
          </a: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 180° es el nivel opuesto al pivote — punto de máxima tensión. Reversiones frecuentes aquí.</a:t>
          </a:r>
        </a:p>
      </xdr:txBody>
    </xdr:sp>
    <xdr:clientData/>
  </xdr:oneCellAnchor>
  <xdr:oneCellAnchor>
    <xdr:from>
      <xdr:col>1</xdr:col>
      <xdr:colOff>342900</xdr:colOff>
      <xdr:row>35</xdr:row>
      <xdr:rowOff>38100</xdr:rowOff>
    </xdr:from>
    <xdr:ext cx="8978900" cy="18161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3B65B3-7EF9-F343-87FC-BCE238783CC9}"/>
            </a:ext>
          </a:extLst>
        </xdr:cNvPr>
        <xdr:cNvSpPr txBox="1"/>
      </xdr:nvSpPr>
      <xdr:spPr>
        <a:xfrm>
          <a:off x="1168400" y="7150100"/>
          <a:ext cx="8978900" cy="18161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Q4 · 270°–360° · Reversión</a:t>
          </a: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Zona de agotamiento. El 270° marca frecuentemente el final de un impulso antes del siguiente ciclo.</a:t>
          </a:r>
        </a:p>
      </xdr:txBody>
    </xdr:sp>
    <xdr:clientData/>
  </xdr:oneCellAnchor>
  <xdr:oneCellAnchor>
    <xdr:from>
      <xdr:col>1</xdr:col>
      <xdr:colOff>279400</xdr:colOff>
      <xdr:row>47</xdr:row>
      <xdr:rowOff>139700</xdr:rowOff>
    </xdr:from>
    <xdr:ext cx="9093200" cy="889307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245519-037B-FCAB-DC4C-D6A25F8A8A7F}"/>
            </a:ext>
          </a:extLst>
        </xdr:cNvPr>
        <xdr:cNvSpPr txBox="1"/>
      </xdr:nvSpPr>
      <xdr:spPr>
        <a:xfrm>
          <a:off x="1104900" y="9690100"/>
          <a:ext cx="9093200" cy="88930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¿en qué espacio viven los precios?</a:t>
          </a: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 el tiempo es cíclico y el precio responde al tiempo, entonces el precio también debe ser cíclico en algún espacio</a:t>
          </a:r>
        </a:p>
        <a:p>
          <a:endParaRPr lang="en-GB" sz="2800" b="1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Los participantes en el mercado no reaccionan a 100 puntos  reaccionan al porcentaje. El cerebro está calibrado en proporciones, no en absolutos. La raíz cuadrada traduce el precio a ese lenguaje natural del mercado.</a:t>
          </a:r>
        </a:p>
        <a:p>
          <a:endParaRPr lang="en-GB" sz="2800" b="1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Ejemplo: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La </a:t>
          </a:r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hipoteca</a:t>
          </a: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Tienes una deuda de 10.000€. Te perdonan 1.000€. Respiras  es un 10% menos.</a:t>
          </a: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Tu vecino tiene una deuda de 500.000€. Le perdonan los mismos 1.000€. Ni lo nota  es un 0,2%.</a:t>
          </a:r>
        </a:p>
        <a:p>
          <a:endParaRPr lang="en-GB" sz="2800" b="1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reduccion</a:t>
          </a:r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no lo mide el número absoluto. Lo mide la proporción sobre el total. Exactamente igual con los puntos del SPX.</a:t>
          </a:r>
        </a:p>
        <a:p>
          <a:endParaRPr lang="en-GB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oneCellAnchor>
  <xdr:twoCellAnchor>
    <xdr:from>
      <xdr:col>16</xdr:col>
      <xdr:colOff>647700</xdr:colOff>
      <xdr:row>11</xdr:row>
      <xdr:rowOff>139700</xdr:rowOff>
    </xdr:from>
    <xdr:to>
      <xdr:col>30</xdr:col>
      <xdr:colOff>457200</xdr:colOff>
      <xdr:row>62</xdr:row>
      <xdr:rowOff>88900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4C0A0BF-D755-045D-D458-D4E15201E79D}"/>
            </a:ext>
          </a:extLst>
        </xdr:cNvPr>
        <xdr:cNvSpPr/>
      </xdr:nvSpPr>
      <xdr:spPr>
        <a:xfrm>
          <a:off x="13855700" y="2374900"/>
          <a:ext cx="11366500" cy="10312400"/>
        </a:xfrm>
        <a:prstGeom prst="ellipse">
          <a:avLst/>
        </a:prstGeom>
        <a:solidFill>
          <a:schemeClr val="bg1"/>
        </a:solidFill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552450</xdr:colOff>
      <xdr:row>11</xdr:row>
      <xdr:rowOff>139700</xdr:rowOff>
    </xdr:from>
    <xdr:to>
      <xdr:col>23</xdr:col>
      <xdr:colOff>552450</xdr:colOff>
      <xdr:row>62</xdr:row>
      <xdr:rowOff>88900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7FC2F91-04D4-0583-9DDD-5EFCD1A0A663}"/>
            </a:ext>
          </a:extLst>
        </xdr:cNvPr>
        <xdr:cNvCxnSpPr>
          <a:stCxn id="8" idx="4"/>
          <a:endCxn id="8" idx="0"/>
        </xdr:cNvCxnSpPr>
      </xdr:nvCxnSpPr>
      <xdr:spPr>
        <a:xfrm flipV="1">
          <a:off x="19538950" y="2374900"/>
          <a:ext cx="0" cy="1031240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647700</xdr:colOff>
      <xdr:row>37</xdr:row>
      <xdr:rowOff>12700</xdr:rowOff>
    </xdr:from>
    <xdr:to>
      <xdr:col>30</xdr:col>
      <xdr:colOff>457200</xdr:colOff>
      <xdr:row>37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B5582F3-B85B-244B-8D64-83521D558501}"/>
            </a:ext>
          </a:extLst>
        </xdr:cNvPr>
        <xdr:cNvCxnSpPr>
          <a:stCxn id="8" idx="2"/>
          <a:endCxn id="8" idx="6"/>
        </xdr:cNvCxnSpPr>
      </xdr:nvCxnSpPr>
      <xdr:spPr>
        <a:xfrm>
          <a:off x="13855700" y="7531100"/>
          <a:ext cx="113665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661285</xdr:colOff>
      <xdr:row>19</xdr:row>
      <xdr:rowOff>24316</xdr:rowOff>
    </xdr:from>
    <xdr:to>
      <xdr:col>28</xdr:col>
      <xdr:colOff>443615</xdr:colOff>
      <xdr:row>55</xdr:row>
      <xdr:rowOff>1084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A49F83B-E534-3845-8304-2F73521957BA}"/>
            </a:ext>
          </a:extLst>
        </xdr:cNvPr>
        <xdr:cNvCxnSpPr>
          <a:stCxn id="8" idx="1"/>
          <a:endCxn id="8" idx="5"/>
        </xdr:cNvCxnSpPr>
      </xdr:nvCxnSpPr>
      <xdr:spPr>
        <a:xfrm>
          <a:off x="15520285" y="3885116"/>
          <a:ext cx="8037330" cy="7291968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661285</xdr:colOff>
      <xdr:row>19</xdr:row>
      <xdr:rowOff>24316</xdr:rowOff>
    </xdr:from>
    <xdr:to>
      <xdr:col>28</xdr:col>
      <xdr:colOff>443615</xdr:colOff>
      <xdr:row>55</xdr:row>
      <xdr:rowOff>1084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884CBDA-6CEE-1442-960A-F37542F88C57}"/>
            </a:ext>
          </a:extLst>
        </xdr:cNvPr>
        <xdr:cNvCxnSpPr>
          <a:stCxn id="8" idx="3"/>
          <a:endCxn id="8" idx="7"/>
        </xdr:cNvCxnSpPr>
      </xdr:nvCxnSpPr>
      <xdr:spPr>
        <a:xfrm flipV="1">
          <a:off x="15520285" y="3885116"/>
          <a:ext cx="8037330" cy="7291968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31</xdr:row>
      <xdr:rowOff>114300</xdr:rowOff>
    </xdr:from>
    <xdr:to>
      <xdr:col>25</xdr:col>
      <xdr:colOff>152400</xdr:colOff>
      <xdr:row>42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E24C37C-4E95-A734-6B16-7FBD633ECAF7}"/>
            </a:ext>
          </a:extLst>
        </xdr:cNvPr>
        <xdr:cNvSpPr/>
      </xdr:nvSpPr>
      <xdr:spPr>
        <a:xfrm>
          <a:off x="18313400" y="6413500"/>
          <a:ext cx="2476500" cy="22352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444500</xdr:colOff>
      <xdr:row>29</xdr:row>
      <xdr:rowOff>139700</xdr:rowOff>
    </xdr:from>
    <xdr:to>
      <xdr:col>25</xdr:col>
      <xdr:colOff>673100</xdr:colOff>
      <xdr:row>44</xdr:row>
      <xdr:rowOff>101600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BA29E86-473D-8E48-A8DE-05D98731F1F9}"/>
            </a:ext>
          </a:extLst>
        </xdr:cNvPr>
        <xdr:cNvSpPr/>
      </xdr:nvSpPr>
      <xdr:spPr>
        <a:xfrm>
          <a:off x="17780000" y="6032500"/>
          <a:ext cx="3530600" cy="3009900"/>
        </a:xfrm>
        <a:prstGeom prst="ellipse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76200</xdr:colOff>
      <xdr:row>27</xdr:row>
      <xdr:rowOff>139700</xdr:rowOff>
    </xdr:from>
    <xdr:to>
      <xdr:col>26</xdr:col>
      <xdr:colOff>266700</xdr:colOff>
      <xdr:row>46</xdr:row>
      <xdr:rowOff>177800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AA82946-8762-4F45-A265-8F3A366C88AF}"/>
            </a:ext>
          </a:extLst>
        </xdr:cNvPr>
        <xdr:cNvSpPr/>
      </xdr:nvSpPr>
      <xdr:spPr>
        <a:xfrm>
          <a:off x="17411700" y="5626100"/>
          <a:ext cx="4318000" cy="3898900"/>
        </a:xfrm>
        <a:prstGeom prst="ellipse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482600</xdr:colOff>
      <xdr:row>25</xdr:row>
      <xdr:rowOff>25400</xdr:rowOff>
    </xdr:from>
    <xdr:to>
      <xdr:col>26</xdr:col>
      <xdr:colOff>635000</xdr:colOff>
      <xdr:row>49</xdr:row>
      <xdr:rowOff>101600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D078176-EE83-D248-BC23-5DB621EF25DD}"/>
            </a:ext>
          </a:extLst>
        </xdr:cNvPr>
        <xdr:cNvSpPr/>
      </xdr:nvSpPr>
      <xdr:spPr>
        <a:xfrm>
          <a:off x="16992600" y="5105400"/>
          <a:ext cx="5105400" cy="4953000"/>
        </a:xfrm>
        <a:prstGeom prst="ellipse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723900</xdr:colOff>
      <xdr:row>22</xdr:row>
      <xdr:rowOff>165100</xdr:rowOff>
    </xdr:from>
    <xdr:to>
      <xdr:col>27</xdr:col>
      <xdr:colOff>304800</xdr:colOff>
      <xdr:row>51</xdr:row>
      <xdr:rowOff>88900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4C91E19-F295-9943-B5E0-DD9ECE088C8B}"/>
            </a:ext>
          </a:extLst>
        </xdr:cNvPr>
        <xdr:cNvSpPr/>
      </xdr:nvSpPr>
      <xdr:spPr>
        <a:xfrm>
          <a:off x="16408400" y="4635500"/>
          <a:ext cx="6184900" cy="58166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63500</xdr:colOff>
      <xdr:row>20</xdr:row>
      <xdr:rowOff>76200</xdr:rowOff>
    </xdr:from>
    <xdr:to>
      <xdr:col>28</xdr:col>
      <xdr:colOff>190500</xdr:colOff>
      <xdr:row>53</xdr:row>
      <xdr:rowOff>190500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BD0FD09-8EF2-294A-9B52-3B756ACB329B}"/>
            </a:ext>
          </a:extLst>
        </xdr:cNvPr>
        <xdr:cNvSpPr/>
      </xdr:nvSpPr>
      <xdr:spPr>
        <a:xfrm>
          <a:off x="15748000" y="4140200"/>
          <a:ext cx="7556500" cy="6819900"/>
        </a:xfrm>
        <a:prstGeom prst="ellipse">
          <a:avLst/>
        </a:prstGeom>
        <a:noFill/>
        <a:ln w="381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330200</xdr:colOff>
      <xdr:row>18</xdr:row>
      <xdr:rowOff>25400</xdr:rowOff>
    </xdr:from>
    <xdr:to>
      <xdr:col>29</xdr:col>
      <xdr:colOff>63500</xdr:colOff>
      <xdr:row>56</xdr:row>
      <xdr:rowOff>88900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24C7029-A427-6745-96C0-547AAC0E607A}"/>
            </a:ext>
          </a:extLst>
        </xdr:cNvPr>
        <xdr:cNvSpPr/>
      </xdr:nvSpPr>
      <xdr:spPr>
        <a:xfrm>
          <a:off x="15189200" y="3683000"/>
          <a:ext cx="8813800" cy="7785100"/>
        </a:xfrm>
        <a:prstGeom prst="ellipse">
          <a:avLst/>
        </a:prstGeom>
        <a:noFill/>
        <a:ln w="38100"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520700</xdr:colOff>
      <xdr:row>14</xdr:row>
      <xdr:rowOff>152400</xdr:rowOff>
    </xdr:from>
    <xdr:to>
      <xdr:col>29</xdr:col>
      <xdr:colOff>800100</xdr:colOff>
      <xdr:row>59</xdr:row>
      <xdr:rowOff>25400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CCC85544-DB8A-AD43-9380-EBD458C2B499}"/>
            </a:ext>
          </a:extLst>
        </xdr:cNvPr>
        <xdr:cNvSpPr/>
      </xdr:nvSpPr>
      <xdr:spPr>
        <a:xfrm>
          <a:off x="14554200" y="2997200"/>
          <a:ext cx="10185400" cy="9017000"/>
        </a:xfrm>
        <a:prstGeom prst="ellipse">
          <a:avLst/>
        </a:prstGeom>
        <a:noFill/>
        <a:ln w="38100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21</xdr:col>
      <xdr:colOff>711200</xdr:colOff>
      <xdr:row>8</xdr:row>
      <xdr:rowOff>127000</xdr:rowOff>
    </xdr:from>
    <xdr:ext cx="2806700" cy="9182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6118311-5C53-9983-B8C6-CB9D7CD79AA5}"/>
            </a:ext>
          </a:extLst>
        </xdr:cNvPr>
        <xdr:cNvSpPr txBox="1"/>
      </xdr:nvSpPr>
      <xdr:spPr>
        <a:xfrm>
          <a:off x="18046700" y="1752600"/>
          <a:ext cx="2806700" cy="9182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360° -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Cardinal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22</xdr:col>
      <xdr:colOff>63500</xdr:colOff>
      <xdr:row>63</xdr:row>
      <xdr:rowOff>0</xdr:rowOff>
    </xdr:from>
    <xdr:ext cx="2806700" cy="50526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F02C37E-477B-B741-9ED1-25B739C18101}"/>
            </a:ext>
          </a:extLst>
        </xdr:cNvPr>
        <xdr:cNvSpPr txBox="1"/>
      </xdr:nvSpPr>
      <xdr:spPr>
        <a:xfrm>
          <a:off x="18224500" y="12801600"/>
          <a:ext cx="2806700" cy="5052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180°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Cardinal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29</xdr:col>
      <xdr:colOff>254000</xdr:colOff>
      <xdr:row>35</xdr:row>
      <xdr:rowOff>88900</xdr:rowOff>
    </xdr:from>
    <xdr:ext cx="2806700" cy="50526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6AC16B6-44EF-AD4C-8FF0-E0522BE5C4D2}"/>
            </a:ext>
          </a:extLst>
        </xdr:cNvPr>
        <xdr:cNvSpPr txBox="1"/>
      </xdr:nvSpPr>
      <xdr:spPr>
        <a:xfrm>
          <a:off x="24193500" y="7200900"/>
          <a:ext cx="2806700" cy="5052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90°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Cardinal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14</xdr:col>
      <xdr:colOff>127000</xdr:colOff>
      <xdr:row>35</xdr:row>
      <xdr:rowOff>139700</xdr:rowOff>
    </xdr:from>
    <xdr:ext cx="2806700" cy="50526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7B2A664-7775-B347-80C9-BFB0699C03D1}"/>
            </a:ext>
          </a:extLst>
        </xdr:cNvPr>
        <xdr:cNvSpPr txBox="1"/>
      </xdr:nvSpPr>
      <xdr:spPr>
        <a:xfrm>
          <a:off x="11684000" y="7251700"/>
          <a:ext cx="2806700" cy="5052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270°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Cardinal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24</xdr:col>
      <xdr:colOff>787400</xdr:colOff>
      <xdr:row>24</xdr:row>
      <xdr:rowOff>76200</xdr:rowOff>
    </xdr:from>
    <xdr:ext cx="2806700" cy="50526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E281EFC-A3CD-6647-BCE0-FAC71DA64B32}"/>
            </a:ext>
          </a:extLst>
        </xdr:cNvPr>
        <xdr:cNvSpPr txBox="1"/>
      </xdr:nvSpPr>
      <xdr:spPr>
        <a:xfrm>
          <a:off x="20599400" y="4953000"/>
          <a:ext cx="2806700" cy="5052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45°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Diagonal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457200</xdr:colOff>
      <xdr:row>71</xdr:row>
      <xdr:rowOff>25400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C04BB30-9EF0-E07B-F61A-73C0F7EBB103}"/>
            </a:ext>
          </a:extLst>
        </xdr:cNvPr>
        <xdr:cNvSpPr txBox="1"/>
      </xdr:nvSpPr>
      <xdr:spPr>
        <a:xfrm>
          <a:off x="1282700" y="144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24</xdr:col>
      <xdr:colOff>787400</xdr:colOff>
      <xdr:row>47</xdr:row>
      <xdr:rowOff>12700</xdr:rowOff>
    </xdr:from>
    <xdr:ext cx="2806700" cy="50526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D2F2171-E9BE-CF4B-8B92-3B1AEB8AC87A}"/>
            </a:ext>
          </a:extLst>
        </xdr:cNvPr>
        <xdr:cNvSpPr txBox="1"/>
      </xdr:nvSpPr>
      <xdr:spPr>
        <a:xfrm>
          <a:off x="20599400" y="9563100"/>
          <a:ext cx="2806700" cy="5052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135°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Diagonal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19</xdr:col>
      <xdr:colOff>241300</xdr:colOff>
      <xdr:row>45</xdr:row>
      <xdr:rowOff>177800</xdr:rowOff>
    </xdr:from>
    <xdr:ext cx="2806700" cy="50526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C54A81D-D361-EB4F-9C04-77499BEF6138}"/>
            </a:ext>
          </a:extLst>
        </xdr:cNvPr>
        <xdr:cNvSpPr txBox="1"/>
      </xdr:nvSpPr>
      <xdr:spPr>
        <a:xfrm>
          <a:off x="15925800" y="9321800"/>
          <a:ext cx="2806700" cy="5052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225°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Diagonal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18</xdr:col>
      <xdr:colOff>723900</xdr:colOff>
      <xdr:row>22</xdr:row>
      <xdr:rowOff>76200</xdr:rowOff>
    </xdr:from>
    <xdr:ext cx="2806700" cy="50526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49DA11B-6E3E-9043-9FE0-E020855026CC}"/>
            </a:ext>
          </a:extLst>
        </xdr:cNvPr>
        <xdr:cNvSpPr txBox="1"/>
      </xdr:nvSpPr>
      <xdr:spPr>
        <a:xfrm>
          <a:off x="15582900" y="4546600"/>
          <a:ext cx="2806700" cy="5052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315°</a:t>
          </a:r>
          <a:r>
            <a:rPr lang="en-GB" sz="28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Diagonal</a:t>
          </a:r>
          <a:endParaRPr lang="en-GB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2" zoomScale="240" zoomScaleNormal="240" workbookViewId="0">
      <selection activeCell="I11" sqref="I11"/>
    </sheetView>
  </sheetViews>
  <sheetFormatPr baseColWidth="10" defaultColWidth="8.6640625" defaultRowHeight="16" x14ac:dyDescent="0.2"/>
  <cols>
    <col min="1" max="1" width="22" style="1" customWidth="1"/>
    <col min="2" max="4" width="10" style="1" customWidth="1"/>
    <col min="5" max="14" width="11" style="1" customWidth="1"/>
    <col min="15" max="16384" width="8.6640625" style="1"/>
  </cols>
  <sheetData>
    <row r="1" spans="1:14" ht="24" customHeight="1" x14ac:dyDescent="0.2">
      <c r="A1" s="74" t="s">
        <v>49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18" customHeight="1" x14ac:dyDescent="0.2">
      <c r="A2" s="2" t="s">
        <v>0</v>
      </c>
      <c r="B2" s="63">
        <v>6321</v>
      </c>
      <c r="C2" s="75" t="s">
        <v>62</v>
      </c>
      <c r="D2" s="75"/>
      <c r="E2" s="75"/>
    </row>
    <row r="3" spans="1:14" ht="18" customHeight="1" x14ac:dyDescent="0.2">
      <c r="A3" s="2" t="s">
        <v>1</v>
      </c>
      <c r="B3" s="3">
        <v>7160</v>
      </c>
    </row>
    <row r="4" spans="1:14" ht="18" customHeight="1" x14ac:dyDescent="0.2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</row>
    <row r="5" spans="1:14" ht="15.75" customHeight="1" x14ac:dyDescent="0.2">
      <c r="A5" s="4" t="s">
        <v>2</v>
      </c>
      <c r="B5" s="9" t="s">
        <v>20</v>
      </c>
      <c r="C5" s="10" t="s">
        <v>21</v>
      </c>
      <c r="D5" s="4" t="s">
        <v>22</v>
      </c>
      <c r="E5" s="11">
        <f>ROUND((SQRT($B$2)+0)^2,0)</f>
        <v>6321</v>
      </c>
      <c r="F5" s="11">
        <f>ROUND((SQRT($B$2)+1)^2,0)</f>
        <v>6481</v>
      </c>
      <c r="G5" s="11">
        <f>ROUND((SQRT($B$2)+2)^2,0)</f>
        <v>6643</v>
      </c>
      <c r="H5" s="11">
        <f>ROUND((SQRT($B$2)+3)^2,0)</f>
        <v>6807</v>
      </c>
      <c r="I5" s="11">
        <f>ROUND((SQRT($B$2)+4)^2,0)</f>
        <v>6973</v>
      </c>
      <c r="J5" s="11">
        <f>ROUND((SQRT($B$2)+5)^2,0)</f>
        <v>7141</v>
      </c>
      <c r="K5" s="11">
        <f>ROUND((SQRT($B$2)+6)^2,0)</f>
        <v>7311</v>
      </c>
      <c r="L5" s="11">
        <f>ROUND((SQRT($B$2)+7)^2,0)</f>
        <v>7483</v>
      </c>
      <c r="M5" s="11">
        <f>ROUND((SQRT($B$2)+8)^2,0)</f>
        <v>7657</v>
      </c>
      <c r="N5" s="11">
        <f>ROUND((SQRT($B$2)+9)^2,0)</f>
        <v>7833</v>
      </c>
    </row>
    <row r="6" spans="1:14" ht="15.75" customHeight="1" x14ac:dyDescent="0.2">
      <c r="A6" s="4" t="s">
        <v>2</v>
      </c>
      <c r="B6" s="12" t="s">
        <v>23</v>
      </c>
      <c r="C6" s="13" t="s">
        <v>24</v>
      </c>
      <c r="D6" s="14" t="s">
        <v>25</v>
      </c>
      <c r="E6" s="15">
        <f>ROUND((SQRT($B$2)+0.125)^2,0)</f>
        <v>6341</v>
      </c>
      <c r="F6" s="15">
        <f>ROUND((SQRT($B$2)+1.125)^2,0)</f>
        <v>6501</v>
      </c>
      <c r="G6" s="15">
        <f>ROUND((SQRT($B$2)+2.125)^2,0)</f>
        <v>6663</v>
      </c>
      <c r="H6" s="15">
        <f>ROUND((SQRT($B$2)+3.125)^2,0)</f>
        <v>6828</v>
      </c>
      <c r="I6" s="15">
        <f>ROUND((SQRT($B$2)+4.125)^2,0)</f>
        <v>6994</v>
      </c>
      <c r="J6" s="15">
        <f>ROUND((SQRT($B$2)+5.125)^2,0)</f>
        <v>7162</v>
      </c>
      <c r="K6" s="15">
        <f>ROUND((SQRT($B$2)+6.125)^2,0)</f>
        <v>7332</v>
      </c>
      <c r="L6" s="15">
        <f>ROUND((SQRT($B$2)+7.125)^2,0)</f>
        <v>7505</v>
      </c>
      <c r="M6" s="15">
        <f>ROUND((SQRT($B$2)+8.125)^2,0)</f>
        <v>7679</v>
      </c>
      <c r="N6" s="15">
        <f>ROUND((SQRT($B$2)+9.125)^2,0)</f>
        <v>7855</v>
      </c>
    </row>
    <row r="7" spans="1:14" ht="15.75" customHeight="1" x14ac:dyDescent="0.2">
      <c r="A7" s="5" t="s">
        <v>3</v>
      </c>
      <c r="B7" s="16" t="s">
        <v>26</v>
      </c>
      <c r="C7" s="17" t="s">
        <v>27</v>
      </c>
      <c r="D7" s="5" t="s">
        <v>22</v>
      </c>
      <c r="E7" s="18">
        <f>ROUND((SQRT($B$2)+0.25)^2,0)</f>
        <v>6361</v>
      </c>
      <c r="F7" s="18">
        <f>ROUND((SQRT($B$2)+1.25)^2,0)</f>
        <v>6521</v>
      </c>
      <c r="G7" s="18">
        <f>ROUND((SQRT($B$2)+2.25)^2,0)</f>
        <v>6684</v>
      </c>
      <c r="H7" s="18">
        <f>ROUND((SQRT($B$2)+3.25)^2,0)</f>
        <v>6848</v>
      </c>
      <c r="I7" s="18">
        <f>ROUND((SQRT($B$2)+4.25)^2,0)</f>
        <v>7015</v>
      </c>
      <c r="J7" s="18">
        <f>ROUND((SQRT($B$2)+5.25)^2,0)</f>
        <v>7183</v>
      </c>
      <c r="K7" s="18">
        <f>ROUND((SQRT($B$2)+6.25)^2,0)</f>
        <v>7354</v>
      </c>
      <c r="L7" s="18">
        <f>ROUND((SQRT($B$2)+7.25)^2,0)</f>
        <v>7526</v>
      </c>
      <c r="M7" s="18">
        <f>ROUND((SQRT($B$2)+8.25)^2,0)</f>
        <v>7701</v>
      </c>
      <c r="N7" s="18">
        <f>ROUND((SQRT($B$2)+9.25)^2,0)</f>
        <v>7877</v>
      </c>
    </row>
    <row r="8" spans="1:14" ht="15.75" customHeight="1" x14ac:dyDescent="0.2">
      <c r="A8" s="5" t="s">
        <v>3</v>
      </c>
      <c r="B8" s="19" t="s">
        <v>28</v>
      </c>
      <c r="C8" s="20" t="s">
        <v>29</v>
      </c>
      <c r="D8" s="21" t="s">
        <v>25</v>
      </c>
      <c r="E8" s="22">
        <f>ROUND((SQRT($B$2)+0.375)^2,0)</f>
        <v>6381</v>
      </c>
      <c r="F8" s="22">
        <f>ROUND((SQRT($B$2)+1.375)^2,0)</f>
        <v>6542</v>
      </c>
      <c r="G8" s="22">
        <f>ROUND((SQRT($B$2)+2.375)^2,0)</f>
        <v>6704</v>
      </c>
      <c r="H8" s="22">
        <f>ROUND((SQRT($B$2)+3.375)^2,0)</f>
        <v>6869</v>
      </c>
      <c r="I8" s="22">
        <f>ROUND((SQRT($B$2)+4.375)^2,0)</f>
        <v>7036</v>
      </c>
      <c r="J8" s="22">
        <f>ROUND((SQRT($B$2)+5.375)^2,0)</f>
        <v>7205</v>
      </c>
      <c r="K8" s="22">
        <f>ROUND((SQRT($B$2)+6.375)^2,0)</f>
        <v>7375</v>
      </c>
      <c r="L8" s="22">
        <f>ROUND((SQRT($B$2)+7.375)^2,0)</f>
        <v>7548</v>
      </c>
      <c r="M8" s="22">
        <f>ROUND((SQRT($B$2)+8.375)^2,0)</f>
        <v>7723</v>
      </c>
      <c r="N8" s="22">
        <f>ROUND((SQRT($B$2)+9.375)^2,0)</f>
        <v>7900</v>
      </c>
    </row>
    <row r="9" spans="1:14" ht="15.75" customHeight="1" x14ac:dyDescent="0.2">
      <c r="A9" s="6" t="s">
        <v>4</v>
      </c>
      <c r="B9" s="23" t="s">
        <v>30</v>
      </c>
      <c r="C9" s="24" t="s">
        <v>31</v>
      </c>
      <c r="D9" s="6" t="s">
        <v>22</v>
      </c>
      <c r="E9" s="25">
        <f>ROUND((SQRT($B$2)+0.5)^2,0)</f>
        <v>6401</v>
      </c>
      <c r="F9" s="25">
        <f>ROUND((SQRT($B$2)+1.5)^2,0)</f>
        <v>6562</v>
      </c>
      <c r="G9" s="25">
        <f>ROUND((SQRT($B$2)+2.5)^2,0)</f>
        <v>6725</v>
      </c>
      <c r="H9" s="25">
        <f>ROUND((SQRT($B$2)+3.5)^2,0)</f>
        <v>6890</v>
      </c>
      <c r="I9" s="25">
        <f>ROUND((SQRT($B$2)+4.5)^2,0)</f>
        <v>7057</v>
      </c>
      <c r="J9" s="25">
        <f>ROUND((SQRT($B$2)+5.5)^2,0)</f>
        <v>7226</v>
      </c>
      <c r="K9" s="25">
        <f>ROUND((SQRT($B$2)+6.5)^2,0)</f>
        <v>7397</v>
      </c>
      <c r="L9" s="25">
        <f>ROUND((SQRT($B$2)+7.5)^2,0)</f>
        <v>7570</v>
      </c>
      <c r="M9" s="25">
        <f>ROUND((SQRT($B$2)+8.5)^2,0)</f>
        <v>7745</v>
      </c>
      <c r="N9" s="25">
        <f>ROUND((SQRT($B$2)+9.5)^2,0)</f>
        <v>7922</v>
      </c>
    </row>
    <row r="10" spans="1:14" ht="15.75" customHeight="1" x14ac:dyDescent="0.2">
      <c r="A10" s="6" t="s">
        <v>4</v>
      </c>
      <c r="B10" s="26" t="s">
        <v>32</v>
      </c>
      <c r="C10" s="27" t="s">
        <v>33</v>
      </c>
      <c r="D10" s="28" t="s">
        <v>25</v>
      </c>
      <c r="E10" s="29">
        <f>ROUND((SQRT($B$2)+0.625)^2,0)</f>
        <v>6421</v>
      </c>
      <c r="F10" s="29">
        <f>ROUND((SQRT($B$2)+1.625)^2,0)</f>
        <v>6582</v>
      </c>
      <c r="G10" s="29">
        <f>ROUND((SQRT($B$2)+2.625)^2,0)</f>
        <v>6745</v>
      </c>
      <c r="H10" s="29">
        <f>ROUND((SQRT($B$2)+3.625)^2,0)</f>
        <v>6911</v>
      </c>
      <c r="I10" s="29">
        <f>ROUND((SQRT($B$2)+4.625)^2,0)</f>
        <v>7078</v>
      </c>
      <c r="J10" s="29">
        <f>ROUND((SQRT($B$2)+5.625)^2,0)</f>
        <v>7247</v>
      </c>
      <c r="K10" s="29">
        <f>ROUND((SQRT($B$2)+6.625)^2,0)</f>
        <v>7418</v>
      </c>
      <c r="L10" s="29">
        <f>ROUND((SQRT($B$2)+7.625)^2,0)</f>
        <v>7592</v>
      </c>
      <c r="M10" s="29">
        <f>ROUND((SQRT($B$2)+8.625)^2,0)</f>
        <v>7767</v>
      </c>
      <c r="N10" s="29">
        <f>ROUND((SQRT($B$2)+9.625)^2,0)</f>
        <v>7944</v>
      </c>
    </row>
    <row r="11" spans="1:14" ht="15.75" customHeight="1" x14ac:dyDescent="0.2">
      <c r="A11" s="7" t="s">
        <v>5</v>
      </c>
      <c r="B11" s="30" t="s">
        <v>34</v>
      </c>
      <c r="C11" s="31" t="s">
        <v>35</v>
      </c>
      <c r="D11" s="7" t="s">
        <v>22</v>
      </c>
      <c r="E11" s="32">
        <f>ROUND((SQRT($B$2)+0.75)^2,0)</f>
        <v>6441</v>
      </c>
      <c r="F11" s="32">
        <f>ROUND((SQRT($B$2)+1.75)^2,0)</f>
        <v>6602</v>
      </c>
      <c r="G11" s="32">
        <f>ROUND((SQRT($B$2)+2.75)^2,0)</f>
        <v>6766</v>
      </c>
      <c r="H11" s="32">
        <f>ROUND((SQRT($B$2)+3.75)^2,0)</f>
        <v>6931</v>
      </c>
      <c r="I11" s="32">
        <f>ROUND((SQRT($B$2)+4.75)^2,0)</f>
        <v>7099</v>
      </c>
      <c r="J11" s="32">
        <f>ROUND((SQRT($B$2)+5.75)^2,0)</f>
        <v>7268</v>
      </c>
      <c r="K11" s="32">
        <f>ROUND((SQRT($B$2)+6.75)^2,0)</f>
        <v>7440</v>
      </c>
      <c r="L11" s="32">
        <f>ROUND((SQRT($B$2)+7.75)^2,0)</f>
        <v>7613</v>
      </c>
      <c r="M11" s="32">
        <f>ROUND((SQRT($B$2)+8.75)^2,0)</f>
        <v>7789</v>
      </c>
      <c r="N11" s="32">
        <f>ROUND((SQRT($B$2)+9.75)^2,0)</f>
        <v>7966</v>
      </c>
    </row>
    <row r="12" spans="1:14" ht="15.75" customHeight="1" x14ac:dyDescent="0.2">
      <c r="A12" s="7" t="s">
        <v>5</v>
      </c>
      <c r="B12" s="33" t="s">
        <v>36</v>
      </c>
      <c r="C12" s="34" t="s">
        <v>37</v>
      </c>
      <c r="D12" s="35" t="s">
        <v>25</v>
      </c>
      <c r="E12" s="36">
        <f>ROUND((SQRT($B$2)+0.875)^2,0)</f>
        <v>6461</v>
      </c>
      <c r="F12" s="36">
        <f>ROUND((SQRT($B$2)+1.875)^2,0)</f>
        <v>6623</v>
      </c>
      <c r="G12" s="36">
        <f>ROUND((SQRT($B$2)+2.875)^2,0)</f>
        <v>6786</v>
      </c>
      <c r="H12" s="36">
        <f>ROUND((SQRT($B$2)+3.875)^2,0)</f>
        <v>6952</v>
      </c>
      <c r="I12" s="36">
        <f>ROUND((SQRT($B$2)+4.875)^2,0)</f>
        <v>7120</v>
      </c>
      <c r="J12" s="36">
        <f>ROUND((SQRT($B$2)+5.875)^2,0)</f>
        <v>7290</v>
      </c>
      <c r="K12" s="36">
        <f>ROUND((SQRT($B$2)+6.875)^2,0)</f>
        <v>7461</v>
      </c>
      <c r="L12" s="36">
        <f>ROUND((SQRT($B$2)+7.875)^2,0)</f>
        <v>7635</v>
      </c>
      <c r="M12" s="36">
        <f>ROUND((SQRT($B$2)+8.875)^2,0)</f>
        <v>7811</v>
      </c>
      <c r="N12" s="36">
        <f>ROUND((SQRT($B$2)+9.875)^2,0)</f>
        <v>7989</v>
      </c>
    </row>
    <row r="13" spans="1:14" x14ac:dyDescent="0.2">
      <c r="A13" s="76" t="s">
        <v>40</v>
      </c>
      <c r="B13" s="76"/>
      <c r="C13" s="76"/>
      <c r="D13" s="76"/>
      <c r="E13" s="37">
        <f t="array" ref="E13">MIN(ABS(E5:E12-$B$3))</f>
        <v>699</v>
      </c>
      <c r="F13" s="37">
        <f t="array" ref="F13">MIN(ABS(F5:F12-$B$3))</f>
        <v>537</v>
      </c>
      <c r="G13" s="37">
        <f t="array" ref="G13">MIN(ABS(G5:G12-$B$3))</f>
        <v>374</v>
      </c>
      <c r="H13" s="37">
        <f t="array" ref="H13">MIN(ABS(H5:H12-$B$3))</f>
        <v>208</v>
      </c>
      <c r="I13" s="37">
        <f t="array" ref="I13">MIN(ABS(I5:I12-$B$3))</f>
        <v>40</v>
      </c>
      <c r="J13" s="37">
        <f t="array" ref="J13">MIN(ABS(J5:J12-$B$3))</f>
        <v>2</v>
      </c>
      <c r="K13" s="37">
        <f t="array" ref="K13">MIN(ABS(K5:K12-$B$3))</f>
        <v>151</v>
      </c>
      <c r="L13" s="37">
        <f t="array" ref="L13">MIN(ABS(L5:L12-$B$3))</f>
        <v>323</v>
      </c>
      <c r="M13" s="37">
        <f t="array" ref="M13">MIN(ABS(M5:M12-$B$3))</f>
        <v>497</v>
      </c>
      <c r="N13" s="37">
        <f t="array" ref="N13">MIN(ABS(N5:N12-$B$3))</f>
        <v>673</v>
      </c>
    </row>
    <row r="15" spans="1:14" x14ac:dyDescent="0.2">
      <c r="A15" s="71" t="s">
        <v>39</v>
      </c>
      <c r="B15" s="71"/>
      <c r="C15" s="71"/>
      <c r="E15" s="71" t="s">
        <v>45</v>
      </c>
      <c r="F15" s="71"/>
      <c r="G15" s="71"/>
    </row>
    <row r="16" spans="1:14" ht="18.75" customHeight="1" x14ac:dyDescent="0.2">
      <c r="A16" s="64" t="s">
        <v>41</v>
      </c>
      <c r="B16" s="64"/>
      <c r="C16" s="64"/>
      <c r="E16" s="64" t="s">
        <v>50</v>
      </c>
      <c r="F16" s="64"/>
      <c r="G16" s="64"/>
    </row>
    <row r="17" spans="1:14" ht="18" customHeight="1" x14ac:dyDescent="0.2">
      <c r="A17" s="65" t="s">
        <v>42</v>
      </c>
      <c r="B17" s="65"/>
      <c r="C17" s="65"/>
      <c r="E17" s="65" t="s">
        <v>46</v>
      </c>
      <c r="F17" s="65"/>
      <c r="G17" s="65"/>
    </row>
    <row r="18" spans="1:14" ht="18" customHeight="1" x14ac:dyDescent="0.2">
      <c r="A18" s="66" t="s">
        <v>43</v>
      </c>
      <c r="B18" s="66"/>
      <c r="C18" s="66"/>
      <c r="E18" s="66" t="s">
        <v>47</v>
      </c>
      <c r="F18" s="66"/>
      <c r="G18" s="66"/>
    </row>
    <row r="19" spans="1:14" ht="18" customHeight="1" x14ac:dyDescent="0.2">
      <c r="A19" s="72" t="s">
        <v>48</v>
      </c>
      <c r="B19" s="72"/>
      <c r="C19" s="72"/>
      <c r="E19" s="72" t="s">
        <v>44</v>
      </c>
      <c r="F19" s="72"/>
      <c r="G19" s="72"/>
    </row>
    <row r="20" spans="1:14" ht="18" customHeight="1" x14ac:dyDescent="0.2"/>
    <row r="22" spans="1:14" x14ac:dyDescent="0.2">
      <c r="A22" s="73" t="s">
        <v>38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</row>
    <row r="23" spans="1:14" x14ac:dyDescent="0.2">
      <c r="A23" s="38" t="s">
        <v>6</v>
      </c>
      <c r="B23" s="38" t="s">
        <v>7</v>
      </c>
      <c r="C23" s="38" t="s">
        <v>8</v>
      </c>
      <c r="D23" s="38" t="s">
        <v>9</v>
      </c>
      <c r="E23" s="38" t="s">
        <v>10</v>
      </c>
      <c r="F23" s="38" t="s">
        <v>11</v>
      </c>
      <c r="G23" s="38" t="s">
        <v>12</v>
      </c>
      <c r="H23" s="38" t="s">
        <v>13</v>
      </c>
      <c r="I23" s="38" t="s">
        <v>14</v>
      </c>
      <c r="J23" s="38" t="s">
        <v>15</v>
      </c>
      <c r="K23" s="38" t="s">
        <v>16</v>
      </c>
      <c r="L23" s="38" t="s">
        <v>17</v>
      </c>
      <c r="M23" s="38" t="s">
        <v>18</v>
      </c>
      <c r="N23" s="38" t="s">
        <v>19</v>
      </c>
    </row>
    <row r="24" spans="1:14" x14ac:dyDescent="0.2">
      <c r="A24" s="39" t="s">
        <v>2</v>
      </c>
      <c r="B24" s="40" t="s">
        <v>20</v>
      </c>
      <c r="C24" s="41" t="s">
        <v>21</v>
      </c>
      <c r="D24" s="40" t="s">
        <v>22</v>
      </c>
      <c r="E24" s="41">
        <f>ROUND((SQRT($B$2)-0-0)^2,0)</f>
        <v>6321</v>
      </c>
      <c r="F24" s="41">
        <f>ROUND((SQRT($B$2)-0-1)^2,0)</f>
        <v>6163</v>
      </c>
      <c r="G24" s="41">
        <f>ROUND((SQRT($B$2)-0-2)^2,0)</f>
        <v>6007</v>
      </c>
      <c r="H24" s="41">
        <f>ROUND((SQRT($B$2)-0-3)^2,0)</f>
        <v>5853</v>
      </c>
      <c r="I24" s="41">
        <f>ROUND((SQRT($B$2)-0-4)^2,0)</f>
        <v>5701</v>
      </c>
      <c r="J24" s="41">
        <f>ROUND((SQRT($B$2)-0-5)^2,0)</f>
        <v>5551</v>
      </c>
      <c r="K24" s="41">
        <f>ROUND((SQRT($B$2)-0-6)^2,0)</f>
        <v>5403</v>
      </c>
      <c r="L24" s="41">
        <f>ROUND((SQRT($B$2)-0-7)^2,0)</f>
        <v>5257</v>
      </c>
      <c r="M24" s="41">
        <f>ROUND((SQRT($B$2)-0-8)^2,0)</f>
        <v>5113</v>
      </c>
      <c r="N24" s="41">
        <f>ROUND((SQRT($B$2)-0-9)^2,0)</f>
        <v>4971</v>
      </c>
    </row>
    <row r="25" spans="1:14" x14ac:dyDescent="0.2">
      <c r="A25" s="42" t="s">
        <v>2</v>
      </c>
      <c r="B25" s="43" t="s">
        <v>23</v>
      </c>
      <c r="C25" s="44" t="s">
        <v>24</v>
      </c>
      <c r="D25" s="43" t="s">
        <v>25</v>
      </c>
      <c r="E25" s="44">
        <f>ROUND((SQRT($B$2)-0.125-0)^2,0)</f>
        <v>6301</v>
      </c>
      <c r="F25" s="44">
        <f>ROUND((SQRT($B$2)-0.125-1)^2,0)</f>
        <v>6143</v>
      </c>
      <c r="G25" s="44">
        <f>ROUND((SQRT($B$2)-0.125-2)^2,0)</f>
        <v>5988</v>
      </c>
      <c r="H25" s="44">
        <f>ROUND((SQRT($B$2)-0.125-3)^2,0)</f>
        <v>5834</v>
      </c>
      <c r="I25" s="44">
        <f>ROUND((SQRT($B$2)-0.125-4)^2,0)</f>
        <v>5682</v>
      </c>
      <c r="J25" s="44">
        <f>ROUND((SQRT($B$2)-0.125-5)^2,0)</f>
        <v>5532</v>
      </c>
      <c r="K25" s="44">
        <f>ROUND((SQRT($B$2)-0.125-6)^2,0)</f>
        <v>5385</v>
      </c>
      <c r="L25" s="44">
        <f>ROUND((SQRT($B$2)-0.125-7)^2,0)</f>
        <v>5239</v>
      </c>
      <c r="M25" s="44">
        <f>ROUND((SQRT($B$2)-0.125-8)^2,0)</f>
        <v>5095</v>
      </c>
      <c r="N25" s="44">
        <f>ROUND((SQRT($B$2)-0.125-9)^2,0)</f>
        <v>4953</v>
      </c>
    </row>
    <row r="26" spans="1:14" x14ac:dyDescent="0.2">
      <c r="A26" s="45" t="s">
        <v>3</v>
      </c>
      <c r="B26" s="46" t="s">
        <v>26</v>
      </c>
      <c r="C26" s="47" t="s">
        <v>27</v>
      </c>
      <c r="D26" s="46" t="s">
        <v>22</v>
      </c>
      <c r="E26" s="47">
        <f>ROUND((SQRT($B$2)-0.25-0)^2,0)</f>
        <v>6281</v>
      </c>
      <c r="F26" s="47">
        <f>ROUND((SQRT($B$2)-0.25-1)^2,0)</f>
        <v>6124</v>
      </c>
      <c r="G26" s="47">
        <f>ROUND((SQRT($B$2)-0.25-2)^2,0)</f>
        <v>5968</v>
      </c>
      <c r="H26" s="47">
        <f>ROUND((SQRT($B$2)-0.25-3)^2,0)</f>
        <v>5815</v>
      </c>
      <c r="I26" s="47">
        <f>ROUND((SQRT($B$2)-0.25-4)^2,0)</f>
        <v>5663</v>
      </c>
      <c r="J26" s="47">
        <f>ROUND((SQRT($B$2)-0.25-5)^2,0)</f>
        <v>5514</v>
      </c>
      <c r="K26" s="47">
        <f>ROUND((SQRT($B$2)-0.25-6)^2,0)</f>
        <v>5366</v>
      </c>
      <c r="L26" s="47">
        <f>ROUND((SQRT($B$2)-0.25-7)^2,0)</f>
        <v>5221</v>
      </c>
      <c r="M26" s="47">
        <f>ROUND((SQRT($B$2)-0.25-8)^2,0)</f>
        <v>5077</v>
      </c>
      <c r="N26" s="47">
        <f>ROUND((SQRT($B$2)-0.25-9)^2,0)</f>
        <v>4936</v>
      </c>
    </row>
    <row r="27" spans="1:14" x14ac:dyDescent="0.2">
      <c r="A27" s="48" t="s">
        <v>3</v>
      </c>
      <c r="B27" s="49" t="s">
        <v>28</v>
      </c>
      <c r="C27" s="50" t="s">
        <v>29</v>
      </c>
      <c r="D27" s="49" t="s">
        <v>25</v>
      </c>
      <c r="E27" s="50">
        <f>ROUND((SQRT($B$2)-0.375-0)^2,0)</f>
        <v>6262</v>
      </c>
      <c r="F27" s="50">
        <f>ROUND((SQRT($B$2)-0.375-1)^2,0)</f>
        <v>6104</v>
      </c>
      <c r="G27" s="50">
        <f>ROUND((SQRT($B$2)-0.375-2)^2,0)</f>
        <v>5949</v>
      </c>
      <c r="H27" s="50">
        <f>ROUND((SQRT($B$2)-0.375-3)^2,0)</f>
        <v>5796</v>
      </c>
      <c r="I27" s="50">
        <f>ROUND((SQRT($B$2)-0.375-4)^2,0)</f>
        <v>5644</v>
      </c>
      <c r="J27" s="50">
        <f>ROUND((SQRT($B$2)-0.375-5)^2,0)</f>
        <v>5495</v>
      </c>
      <c r="K27" s="50">
        <f>ROUND((SQRT($B$2)-0.375-6)^2,0)</f>
        <v>5348</v>
      </c>
      <c r="L27" s="50">
        <f>ROUND((SQRT($B$2)-0.375-7)^2,0)</f>
        <v>5203</v>
      </c>
      <c r="M27" s="50">
        <f>ROUND((SQRT($B$2)-0.375-8)^2,0)</f>
        <v>5059</v>
      </c>
      <c r="N27" s="50">
        <f>ROUND((SQRT($B$2)-0.375-9)^2,0)</f>
        <v>4918</v>
      </c>
    </row>
    <row r="28" spans="1:14" x14ac:dyDescent="0.2">
      <c r="A28" s="51" t="s">
        <v>4</v>
      </c>
      <c r="B28" s="52" t="s">
        <v>30</v>
      </c>
      <c r="C28" s="53" t="s">
        <v>31</v>
      </c>
      <c r="D28" s="52" t="s">
        <v>22</v>
      </c>
      <c r="E28" s="53">
        <f>ROUND((SQRT($B$2)-0.5-0)^2,0)</f>
        <v>6242</v>
      </c>
      <c r="F28" s="53">
        <f>ROUND((SQRT($B$2)-0.5-1)^2,0)</f>
        <v>6085</v>
      </c>
      <c r="G28" s="53">
        <f>ROUND((SQRT($B$2)-0.5-2)^2,0)</f>
        <v>5930</v>
      </c>
      <c r="H28" s="53">
        <f>ROUND((SQRT($B$2)-0.5-3)^2,0)</f>
        <v>5777</v>
      </c>
      <c r="I28" s="53">
        <f>ROUND((SQRT($B$2)-0.5-4)^2,0)</f>
        <v>5626</v>
      </c>
      <c r="J28" s="53">
        <f>ROUND((SQRT($B$2)-0.5-5)^2,0)</f>
        <v>5477</v>
      </c>
      <c r="K28" s="53">
        <f>ROUND((SQRT($B$2)-0.5-6)^2,0)</f>
        <v>5330</v>
      </c>
      <c r="L28" s="53">
        <f>ROUND((SQRT($B$2)-0.5-7)^2,0)</f>
        <v>5185</v>
      </c>
      <c r="M28" s="53">
        <f>ROUND((SQRT($B$2)-0.5-8)^2,0)</f>
        <v>5042</v>
      </c>
      <c r="N28" s="53">
        <f>ROUND((SQRT($B$2)-0.5-9)^2,0)</f>
        <v>4901</v>
      </c>
    </row>
    <row r="29" spans="1:14" x14ac:dyDescent="0.2">
      <c r="A29" s="54" t="s">
        <v>4</v>
      </c>
      <c r="B29" s="55" t="s">
        <v>32</v>
      </c>
      <c r="C29" s="56" t="s">
        <v>33</v>
      </c>
      <c r="D29" s="55" t="s">
        <v>25</v>
      </c>
      <c r="E29" s="56">
        <f>ROUND((SQRT($B$2)-0.625-0)^2,0)</f>
        <v>6222</v>
      </c>
      <c r="F29" s="56">
        <f>ROUND((SQRT($B$2)-0.625-1)^2,0)</f>
        <v>6065</v>
      </c>
      <c r="G29" s="56">
        <f>ROUND((SQRT($B$2)-0.625-2)^2,0)</f>
        <v>5910</v>
      </c>
      <c r="H29" s="56">
        <f>ROUND((SQRT($B$2)-0.625-3)^2,0)</f>
        <v>5758</v>
      </c>
      <c r="I29" s="56">
        <f>ROUND((SQRT($B$2)-0.625-4)^2,0)</f>
        <v>5607</v>
      </c>
      <c r="J29" s="56">
        <f>ROUND((SQRT($B$2)-0.625-5)^2,0)</f>
        <v>5458</v>
      </c>
      <c r="K29" s="56">
        <f>ROUND((SQRT($B$2)-0.625-6)^2,0)</f>
        <v>5311</v>
      </c>
      <c r="L29" s="56">
        <f>ROUND((SQRT($B$2)-0.625-7)^2,0)</f>
        <v>5167</v>
      </c>
      <c r="M29" s="56">
        <f>ROUND((SQRT($B$2)-0.625-8)^2,0)</f>
        <v>5024</v>
      </c>
      <c r="N29" s="56">
        <f>ROUND((SQRT($B$2)-0.625-9)^2,0)</f>
        <v>4883</v>
      </c>
    </row>
    <row r="30" spans="1:14" x14ac:dyDescent="0.2">
      <c r="A30" s="57" t="s">
        <v>5</v>
      </c>
      <c r="B30" s="58" t="s">
        <v>34</v>
      </c>
      <c r="C30" s="59" t="s">
        <v>35</v>
      </c>
      <c r="D30" s="58" t="s">
        <v>22</v>
      </c>
      <c r="E30" s="59">
        <f>ROUND((SQRT($B$2)-0.75-0)^2,0)</f>
        <v>6202</v>
      </c>
      <c r="F30" s="59">
        <f>ROUND((SQRT($B$2)-0.75-1)^2,0)</f>
        <v>6046</v>
      </c>
      <c r="G30" s="59">
        <f>ROUND((SQRT($B$2)-0.75-2)^2,0)</f>
        <v>5891</v>
      </c>
      <c r="H30" s="59">
        <f>ROUND((SQRT($B$2)-0.75-3)^2,0)</f>
        <v>5739</v>
      </c>
      <c r="I30" s="59">
        <f>ROUND((SQRT($B$2)-0.75-4)^2,0)</f>
        <v>5588</v>
      </c>
      <c r="J30" s="59">
        <f>ROUND((SQRT($B$2)-0.75-5)^2,0)</f>
        <v>5440</v>
      </c>
      <c r="K30" s="59">
        <f>ROUND((SQRT($B$2)-0.75-6)^2,0)</f>
        <v>5293</v>
      </c>
      <c r="L30" s="59">
        <f>ROUND((SQRT($B$2)-0.75-7)^2,0)</f>
        <v>5149</v>
      </c>
      <c r="M30" s="59">
        <f>ROUND((SQRT($B$2)-0.75-8)^2,0)</f>
        <v>5006</v>
      </c>
      <c r="N30" s="59">
        <f>ROUND((SQRT($B$2)-0.75-9)^2,0)</f>
        <v>4866</v>
      </c>
    </row>
    <row r="31" spans="1:14" x14ac:dyDescent="0.2">
      <c r="A31" s="60" t="s">
        <v>5</v>
      </c>
      <c r="B31" s="61" t="s">
        <v>36</v>
      </c>
      <c r="C31" s="62" t="s">
        <v>37</v>
      </c>
      <c r="D31" s="61" t="s">
        <v>25</v>
      </c>
      <c r="E31" s="62">
        <f>ROUND((SQRT($B$2)-0.875-0)^2,0)</f>
        <v>6183</v>
      </c>
      <c r="F31" s="62">
        <f>ROUND((SQRT($B$2)-0.875-1)^2,0)</f>
        <v>6026</v>
      </c>
      <c r="G31" s="62">
        <f>ROUND((SQRT($B$2)-0.875-2)^2,0)</f>
        <v>5872</v>
      </c>
      <c r="H31" s="62">
        <f>ROUND((SQRT($B$2)-0.875-3)^2,0)</f>
        <v>5720</v>
      </c>
      <c r="I31" s="62">
        <f>ROUND((SQRT($B$2)-0.875-4)^2,0)</f>
        <v>5570</v>
      </c>
      <c r="J31" s="62">
        <f>ROUND((SQRT($B$2)-0.875-5)^2,0)</f>
        <v>5421</v>
      </c>
      <c r="K31" s="62">
        <f>ROUND((SQRT($B$2)-0.875-6)^2,0)</f>
        <v>5275</v>
      </c>
      <c r="L31" s="62">
        <f>ROUND((SQRT($B$2)-0.875-7)^2,0)</f>
        <v>5131</v>
      </c>
      <c r="M31" s="62">
        <f>ROUND((SQRT($B$2)-0.875-8)^2,0)</f>
        <v>4989</v>
      </c>
      <c r="N31" s="62">
        <f>ROUND((SQRT($B$2)-0.875-9)^2,0)</f>
        <v>4848</v>
      </c>
    </row>
  </sheetData>
  <mergeCells count="8">
    <mergeCell ref="A1:N1"/>
    <mergeCell ref="C2:E2"/>
    <mergeCell ref="A13:D13"/>
    <mergeCell ref="A15:C15"/>
    <mergeCell ref="E15:G15"/>
    <mergeCell ref="E19:G19"/>
    <mergeCell ref="A19:C19"/>
    <mergeCell ref="A22:N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9473-7B6A-464B-880D-3ECB0CC9EF7E}">
  <dimension ref="A1"/>
  <sheetViews>
    <sheetView topLeftCell="A6" workbookViewId="0">
      <selection activeCell="AA5" sqref="AA5"/>
    </sheetView>
  </sheetViews>
  <sheetFormatPr baseColWidth="10" defaultRowHeight="16" x14ac:dyDescent="0.2"/>
  <cols>
    <col min="1" max="16384" width="10.83203125" style="6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7350-4CE5-9648-8CE0-2B1F1A54FBD0}">
  <dimension ref="B4:D14"/>
  <sheetViews>
    <sheetView workbookViewId="0">
      <selection activeCell="D10" sqref="D10"/>
    </sheetView>
  </sheetViews>
  <sheetFormatPr baseColWidth="10" defaultRowHeight="16" x14ac:dyDescent="0.2"/>
  <cols>
    <col min="2" max="2" width="36.33203125" customWidth="1"/>
    <col min="3" max="3" width="20.33203125" customWidth="1"/>
    <col min="4" max="4" width="57" customWidth="1"/>
  </cols>
  <sheetData>
    <row r="4" spans="2:4" ht="35" x14ac:dyDescent="0.35">
      <c r="B4" s="68" t="s">
        <v>51</v>
      </c>
      <c r="C4" s="68" t="s">
        <v>7</v>
      </c>
      <c r="D4" s="68" t="s">
        <v>61</v>
      </c>
    </row>
    <row r="5" spans="2:4" ht="35" x14ac:dyDescent="0.35">
      <c r="B5" s="69" t="s">
        <v>22</v>
      </c>
      <c r="C5" s="69" t="s">
        <v>20</v>
      </c>
      <c r="D5" s="69" t="s">
        <v>52</v>
      </c>
    </row>
    <row r="6" spans="2:4" ht="35" x14ac:dyDescent="0.35">
      <c r="B6" s="69" t="s">
        <v>25</v>
      </c>
      <c r="C6" s="69" t="s">
        <v>23</v>
      </c>
      <c r="D6" s="69" t="s">
        <v>53</v>
      </c>
    </row>
    <row r="7" spans="2:4" ht="35" x14ac:dyDescent="0.35">
      <c r="B7" s="69" t="s">
        <v>22</v>
      </c>
      <c r="C7" s="69" t="s">
        <v>26</v>
      </c>
      <c r="D7" s="69" t="s">
        <v>54</v>
      </c>
    </row>
    <row r="8" spans="2:4" ht="35" x14ac:dyDescent="0.35">
      <c r="B8" s="69" t="s">
        <v>25</v>
      </c>
      <c r="C8" s="69" t="s">
        <v>28</v>
      </c>
      <c r="D8" s="69" t="s">
        <v>55</v>
      </c>
    </row>
    <row r="9" spans="2:4" ht="35" x14ac:dyDescent="0.35">
      <c r="B9" s="69" t="s">
        <v>22</v>
      </c>
      <c r="C9" s="69" t="s">
        <v>30</v>
      </c>
      <c r="D9" s="69" t="s">
        <v>56</v>
      </c>
    </row>
    <row r="10" spans="2:4" ht="35" x14ac:dyDescent="0.35">
      <c r="B10" s="69" t="s">
        <v>25</v>
      </c>
      <c r="C10" s="69" t="s">
        <v>32</v>
      </c>
      <c r="D10" s="69" t="s">
        <v>57</v>
      </c>
    </row>
    <row r="11" spans="2:4" ht="35" x14ac:dyDescent="0.35">
      <c r="B11" s="69" t="s">
        <v>22</v>
      </c>
      <c r="C11" s="69" t="s">
        <v>34</v>
      </c>
      <c r="D11" s="69" t="s">
        <v>58</v>
      </c>
    </row>
    <row r="12" spans="2:4" ht="35" x14ac:dyDescent="0.35">
      <c r="B12" s="69" t="s">
        <v>25</v>
      </c>
      <c r="C12" s="69" t="s">
        <v>36</v>
      </c>
      <c r="D12" s="69" t="s">
        <v>59</v>
      </c>
    </row>
    <row r="14" spans="2:4" ht="18" x14ac:dyDescent="0.2">
      <c r="B14" s="7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Karley Hernandez</dc:creator>
  <dc:description/>
  <cp:lastModifiedBy>Karley Hernandez</cp:lastModifiedBy>
  <cp:revision>0</cp:revision>
  <dcterms:created xsi:type="dcterms:W3CDTF">2026-04-27T15:30:25Z</dcterms:created>
  <dcterms:modified xsi:type="dcterms:W3CDTF">2026-04-29T12:47:08Z</dcterms:modified>
  <dc:language>en-US</dc:language>
</cp:coreProperties>
</file>